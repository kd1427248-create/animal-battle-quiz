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変化6通り" sheetId="1" state="visible" r:id="rId3"/>
    <sheet name="基本ステータス" sheetId="2" state="visible" r:id="rId4"/>
    <sheet name="30通り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<sst xmlns="http://schemas.openxmlformats.org/spreadsheetml/2006/main" count="77" uniqueCount="27">
  <si>
    <t xml:space="preserve">No</t>
  </si>
  <si>
    <t xml:space="preserve">上げる項目</t>
  </si>
  <si>
    <t xml:space="preserve">下げる項目</t>
  </si>
  <si>
    <t xml:space="preserve">HP</t>
  </si>
  <si>
    <t xml:space="preserve">攻撃</t>
  </si>
  <si>
    <t xml:space="preserve">守備</t>
  </si>
  <si>
    <r>
      <rPr>
        <i val="true"/>
        <sz val="10"/>
        <color rgb="FF555555"/>
        <rFont val="Noto Sans CJK SC"/>
        <family val="2"/>
      </rPr>
      <t xml:space="preserve">質問の結果は、この</t>
    </r>
    <r>
      <rPr>
        <i val="true"/>
        <sz val="10"/>
        <color rgb="FF555555"/>
        <rFont val="Meiryo"/>
        <family val="0"/>
        <charset val="1"/>
      </rPr>
      <t xml:space="preserve">6</t>
    </r>
    <r>
      <rPr>
        <i val="true"/>
        <sz val="10"/>
        <color rgb="FF555555"/>
        <rFont val="Noto Sans CJK SC"/>
        <family val="2"/>
      </rPr>
      <t xml:space="preserve">通りのどれかに対応させる（質問の内容自体は未定）。素早さは変化の対象外。</t>
    </r>
  </si>
  <si>
    <t xml:space="preserve">タイプ別の基本ステータス（仮の数値）</t>
  </si>
  <si>
    <t xml:space="preserve">タイプ</t>
  </si>
  <si>
    <t xml:space="preserve">素早さ</t>
  </si>
  <si>
    <t xml:space="preserve">特徴の補正</t>
  </si>
  <si>
    <r>
      <rPr>
        <sz val="11"/>
        <rFont val="Noto Sans CJK SC"/>
        <family val="2"/>
      </rPr>
      <t xml:space="preserve">ネコ科</t>
    </r>
    <r>
      <rPr>
        <sz val="11"/>
        <rFont val="Meiryo"/>
        <family val="0"/>
        <charset val="1"/>
      </rPr>
      <t xml:space="preserve">(</t>
    </r>
    <r>
      <rPr>
        <sz val="11"/>
        <rFont val="Noto Sans CJK SC"/>
        <family val="2"/>
      </rPr>
      <t xml:space="preserve">スピード・会心</t>
    </r>
    <r>
      <rPr>
        <sz val="11"/>
        <rFont val="Meiryo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</si>
  <si>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会心率</t>
    </r>
    <r>
      <rPr>
        <sz val="11"/>
        <rFont val="Meiryo"/>
        <family val="0"/>
        <charset val="1"/>
      </rPr>
      <t xml:space="preserve">+15%</t>
    </r>
  </si>
  <si>
    <r>
      <rPr>
        <sz val="11"/>
        <rFont val="Noto Sans CJK SC"/>
        <family val="2"/>
      </rPr>
      <t xml:space="preserve">イヌ科</t>
    </r>
    <r>
      <rPr>
        <sz val="11"/>
        <rFont val="Meiryo"/>
        <family val="0"/>
        <charset val="1"/>
      </rPr>
      <t xml:space="preserve">(</t>
    </r>
    <r>
      <rPr>
        <sz val="11"/>
        <rFont val="Noto Sans CJK SC"/>
        <family val="2"/>
      </rPr>
      <t xml:space="preserve">バランス</t>
    </r>
    <r>
      <rPr>
        <sz val="11"/>
        <rFont val="Meiryo"/>
        <family val="0"/>
        <charset val="1"/>
      </rPr>
      <t xml:space="preserve">)</t>
    </r>
  </si>
  <si>
    <t xml:space="preserve">なし</t>
  </si>
  <si>
    <r>
      <rPr>
        <sz val="11"/>
        <rFont val="Noto Sans CJK SC"/>
        <family val="2"/>
      </rPr>
      <t xml:space="preserve">大型</t>
    </r>
    <r>
      <rPr>
        <sz val="11"/>
        <rFont val="Meiryo"/>
        <family val="0"/>
        <charset val="1"/>
      </rPr>
      <t xml:space="preserve">(</t>
    </r>
    <r>
      <rPr>
        <sz val="11"/>
        <rFont val="Noto Sans CJK SC"/>
        <family val="2"/>
      </rPr>
      <t xml:space="preserve">タンク</t>
    </r>
    <r>
      <rPr>
        <sz val="11"/>
        <rFont val="Meiryo"/>
        <family val="0"/>
        <charset val="1"/>
      </rPr>
      <t xml:space="preserve">)</t>
    </r>
  </si>
  <si>
    <t xml:space="preserve">先攻を取れない</t>
  </si>
  <si>
    <r>
      <rPr>
        <sz val="11"/>
        <rFont val="Noto Sans CJK SC"/>
        <family val="2"/>
      </rPr>
      <t xml:space="preserve">鳥類</t>
    </r>
    <r>
      <rPr>
        <sz val="11"/>
        <rFont val="Meiryo"/>
        <family val="0"/>
        <charset val="1"/>
      </rPr>
      <t xml:space="preserve">(</t>
    </r>
    <r>
      <rPr>
        <sz val="11"/>
        <rFont val="Noto Sans CJK SC"/>
        <family val="2"/>
      </rPr>
      <t xml:space="preserve">回避・テクニカル</t>
    </r>
    <r>
      <rPr>
        <sz val="11"/>
        <rFont val="Meiryo"/>
        <family val="0"/>
        <charset val="1"/>
      </rPr>
      <t xml:space="preserve">)</t>
    </r>
  </si>
  <si>
    <r>
      <rPr>
        <sz val="11"/>
        <rFont val="Meiryo"/>
        <family val="0"/>
        <charset val="1"/>
      </rPr>
      <t xml:space="preserve">QTE</t>
    </r>
    <r>
      <rPr>
        <sz val="11"/>
        <rFont val="Noto Sans CJK SC"/>
        <family val="2"/>
      </rPr>
      <t xml:space="preserve">判定が広い</t>
    </r>
  </si>
  <si>
    <r>
      <rPr>
        <sz val="11"/>
        <rFont val="Noto Sans CJK SC"/>
        <family val="2"/>
      </rPr>
      <t xml:space="preserve">爬虫類</t>
    </r>
    <r>
      <rPr>
        <sz val="11"/>
        <rFont val="Meiryo"/>
        <family val="0"/>
        <charset val="1"/>
      </rPr>
      <t xml:space="preserve">(</t>
    </r>
    <r>
      <rPr>
        <sz val="11"/>
        <rFont val="Noto Sans CJK SC"/>
        <family val="2"/>
      </rPr>
      <t xml:space="preserve">トリッキー</t>
    </r>
    <r>
      <rPr>
        <sz val="11"/>
        <rFont val="Meiryo"/>
        <family val="0"/>
        <charset val="1"/>
      </rPr>
      <t xml:space="preserve">)</t>
    </r>
  </si>
  <si>
    <t xml:space="preserve">毒などの状態異常</t>
  </si>
  <si>
    <t xml:space="preserve">変化率（上げる／下げる幅）</t>
  </si>
  <si>
    <t xml:space="preserve">青文字・黄色セルは編集できる入力値。数値はたたき台で、シミュレーションで調整する前提。</t>
  </si>
  <si>
    <t xml:space="preserve">素早さは先攻を決めるだけの役割（同値の場合はランダム）。</t>
  </si>
  <si>
    <r>
      <rPr>
        <i val="true"/>
        <sz val="10"/>
        <color rgb="FF555555"/>
        <rFont val="Noto Sans CJK SC"/>
        <family val="2"/>
      </rPr>
      <t xml:space="preserve">出典：会話内でユーザーと決めた方針と、</t>
    </r>
    <r>
      <rPr>
        <i val="true"/>
        <sz val="10"/>
        <color rgb="FF555555"/>
        <rFont val="Meiryo"/>
        <family val="0"/>
        <charset val="1"/>
      </rPr>
      <t xml:space="preserve">Claude</t>
    </r>
    <r>
      <rPr>
        <i val="true"/>
        <sz val="10"/>
        <color rgb="FF555555"/>
        <rFont val="Noto Sans CJK SC"/>
        <family val="2"/>
      </rPr>
      <t xml:space="preserve">が提案した仮の配分。</t>
    </r>
  </si>
  <si>
    <r>
      <rPr>
        <b val="true"/>
        <sz val="11"/>
        <color rgb="FFFFFFFF"/>
        <rFont val="Noto Sans CJK SC"/>
        <family val="2"/>
      </rPr>
      <t xml:space="preserve">変化</t>
    </r>
    <r>
      <rPr>
        <b val="true"/>
        <sz val="11"/>
        <color rgb="FFFFFFFF"/>
        <rFont val="Meiryo"/>
        <family val="0"/>
        <charset val="1"/>
      </rPr>
      <t xml:space="preserve">No</t>
    </r>
  </si>
  <si>
    <r>
      <rPr>
        <i val="true"/>
        <sz val="10"/>
        <color rgb="FF555555"/>
        <rFont val="Meiryo"/>
        <family val="0"/>
        <charset val="1"/>
      </rPr>
      <t xml:space="preserve">5</t>
    </r>
    <r>
      <rPr>
        <i val="true"/>
        <sz val="10"/>
        <color rgb="FF555555"/>
        <rFont val="Noto Sans CJK SC"/>
        <family val="2"/>
      </rPr>
      <t xml:space="preserve">タイプ </t>
    </r>
    <r>
      <rPr>
        <i val="true"/>
        <sz val="10"/>
        <color rgb="FF555555"/>
        <rFont val="Meiryo"/>
        <family val="0"/>
        <charset val="1"/>
      </rPr>
      <t xml:space="preserve">× </t>
    </r>
    <r>
      <rPr>
        <i val="true"/>
        <sz val="10"/>
        <color rgb="FF555555"/>
        <rFont val="Noto Sans CJK SC"/>
        <family val="2"/>
      </rPr>
      <t xml:space="preserve">質問由来の変化</t>
    </r>
    <r>
      <rPr>
        <i val="true"/>
        <sz val="10"/>
        <color rgb="FF555555"/>
        <rFont val="Meiryo"/>
        <family val="0"/>
        <charset val="1"/>
      </rPr>
      <t xml:space="preserve">6</t>
    </r>
    <r>
      <rPr>
        <i val="true"/>
        <sz val="10"/>
        <color rgb="FF555555"/>
        <rFont val="Noto Sans CJK SC"/>
        <family val="2"/>
      </rPr>
      <t xml:space="preserve">通り </t>
    </r>
    <r>
      <rPr>
        <i val="true"/>
        <sz val="10"/>
        <color rgb="FF555555"/>
        <rFont val="Meiryo"/>
        <family val="0"/>
        <charset val="1"/>
      </rPr>
      <t xml:space="preserve">= 30</t>
    </r>
    <r>
      <rPr>
        <i val="true"/>
        <sz val="10"/>
        <color rgb="FF555555"/>
        <rFont val="Noto Sans CJK SC"/>
        <family val="2"/>
      </rPr>
      <t xml:space="preserve">通り。数値は基本ステータス・変化</t>
    </r>
    <r>
      <rPr>
        <i val="true"/>
        <sz val="10"/>
        <color rgb="FF555555"/>
        <rFont val="Meiryo"/>
        <family val="0"/>
        <charset val="1"/>
      </rPr>
      <t xml:space="preserve">6</t>
    </r>
    <r>
      <rPr>
        <i val="true"/>
        <sz val="10"/>
        <color rgb="FF555555"/>
        <rFont val="Noto Sans CJK SC"/>
        <family val="2"/>
      </rPr>
      <t xml:space="preserve">通りのシートから自動計算。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</si>
</sst>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Meiryo"/>
      <family val="0"/>
      <charset val="1"/>
    </font>
    <font>
      <b val="true"/>
      <sz val="11"/>
      <color rgb="FFFFFFFF"/>
      <name val="Noto Sans CJK SC"/>
      <family val="2"/>
    </font>
    <font>
      <sz val="11"/>
      <name val="Meiryo"/>
      <family val="0"/>
      <charset val="1"/>
    </font>
    <font>
      <sz val="11"/>
      <color rgb="FF0000FF"/>
      <name val="Meiryo"/>
      <family val="0"/>
      <charset val="1"/>
    </font>
    <font>
      <sz val="11"/>
      <color rgb="FF0000FF"/>
      <name val="Noto Sans CJK SC"/>
      <family val="2"/>
    </font>
    <font>
      <i val="true"/>
      <sz val="10"/>
      <color rgb="FF555555"/>
      <name val="Noto Sans CJK SC"/>
      <family val="2"/>
    </font>
    <font>
      <i val="true"/>
      <sz val="10"/>
      <color rgb="FF555555"/>
      <name val="Meiryo"/>
      <family val="0"/>
      <charset val="1"/>
    </font>
    <font>
      <b val="true"/>
      <sz val="14"/>
      <name val="Noto Sans CJK SC"/>
      <family val="2"/>
    </font>
    <font>
      <sz val="11"/>
      <name val="Noto Sans CJK SC"/>
      <family val="2"/>
    </font>
    <font>
      <sz val="11"/>
      <color rgb="FF008000"/>
      <name val="Meiryo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546A"/>
        <bgColor rgb="FF555555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44546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6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3" t="n">
        <v>1</v>
      </c>
      <c r="B2" s="4" t="s">
        <v>3</v>
      </c>
      <c r="C2" s="5" t="s">
        <v>4</v>
      </c>
    </row>
    <row r="3" customFormat="false" ht="15" hidden="false" customHeight="false" outlineLevel="0" collapsed="false">
      <c r="A3" s="3" t="n">
        <v>2</v>
      </c>
      <c r="B3" s="4" t="s">
        <v>3</v>
      </c>
      <c r="C3" s="5" t="s">
        <v>5</v>
      </c>
    </row>
    <row r="4" customFormat="false" ht="15" hidden="false" customHeight="false" outlineLevel="0" collapsed="false">
      <c r="A4" s="3" t="n">
        <v>3</v>
      </c>
      <c r="B4" s="5" t="s">
        <v>4</v>
      </c>
      <c r="C4" s="4" t="s">
        <v>3</v>
      </c>
    </row>
    <row r="5" customFormat="false" ht="15" hidden="false" customHeight="false" outlineLevel="0" collapsed="false">
      <c r="A5" s="3" t="n">
        <v>4</v>
      </c>
      <c r="B5" s="5" t="s">
        <v>4</v>
      </c>
      <c r="C5" s="5" t="s">
        <v>5</v>
      </c>
    </row>
    <row r="6" customFormat="false" ht="15" hidden="false" customHeight="false" outlineLevel="0" collapsed="false">
      <c r="A6" s="3" t="n">
        <v>5</v>
      </c>
      <c r="B6" s="5" t="s">
        <v>5</v>
      </c>
      <c r="C6" s="4" t="s">
        <v>3</v>
      </c>
    </row>
    <row r="7" customFormat="false" ht="15" hidden="false" customHeight="false" outlineLevel="0" collapsed="false">
      <c r="A7" s="3" t="n">
        <v>6</v>
      </c>
      <c r="B7" s="5" t="s">
        <v>5</v>
      </c>
      <c r="C7" s="5" t="s">
        <v>4</v>
      </c>
    </row>
    <row r="9" customFormat="false" ht="15" hidden="false" customHeight="false" outlineLevel="0" collapsed="false">
      <c r="A9" s="6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7" t="s">
        <v>7</v>
      </c>
    </row>
    <row r="3" customFormat="false" ht="15" hidden="false" customHeight="false" outlineLevel="0" collapsed="false">
      <c r="A3" s="2" t="s">
        <v>8</v>
      </c>
      <c r="B3" s="1" t="s">
        <v>3</v>
      </c>
      <c r="C3" s="2" t="s">
        <v>4</v>
      </c>
      <c r="D3" s="2" t="s">
        <v>5</v>
      </c>
      <c r="E3" s="2" t="s">
        <v>9</v>
      </c>
      <c r="F3" s="2" t="s">
        <v>10</v>
      </c>
    </row>
    <row r="4" customFormat="false" ht="17.15" hidden="false" customHeight="false" outlineLevel="0" collapsed="false">
      <c r="A4" s="8" t="s">
        <v>11</v>
      </c>
      <c r="B4" s="4" t="n">
        <v>150</v>
      </c>
      <c r="C4" s="4" t="n">
        <v>65</v>
      </c>
      <c r="D4" s="4" t="n">
        <v>35</v>
      </c>
      <c r="E4" s="4" t="n">
        <v>80</v>
      </c>
      <c r="F4" s="9" t="s">
        <v>12</v>
      </c>
    </row>
    <row r="5" customFormat="false" ht="17.15" hidden="false" customHeight="false" outlineLevel="0" collapsed="false">
      <c r="A5" s="8" t="s">
        <v>13</v>
      </c>
      <c r="B5" s="4" t="n">
        <v>200</v>
      </c>
      <c r="C5" s="4" t="n">
        <v>50</v>
      </c>
      <c r="D5" s="4" t="n">
        <v>50</v>
      </c>
      <c r="E5" s="4" t="n">
        <v>50</v>
      </c>
      <c r="F5" s="9" t="s">
        <v>14</v>
      </c>
    </row>
    <row r="6" customFormat="false" ht="17.15" hidden="false" customHeight="false" outlineLevel="0" collapsed="false">
      <c r="A6" s="8" t="s">
        <v>15</v>
      </c>
      <c r="B6" s="4" t="n">
        <v>240</v>
      </c>
      <c r="C6" s="4" t="n">
        <v>40</v>
      </c>
      <c r="D6" s="4" t="n">
        <v>60</v>
      </c>
      <c r="E6" s="4" t="n">
        <v>25</v>
      </c>
      <c r="F6" s="9" t="s">
        <v>16</v>
      </c>
    </row>
    <row r="7" customFormat="false" ht="17.15" hidden="false" customHeight="false" outlineLevel="0" collapsed="false">
      <c r="A7" s="8" t="s">
        <v>17</v>
      </c>
      <c r="B7" s="4" t="n">
        <v>180</v>
      </c>
      <c r="C7" s="4" t="n">
        <v>55</v>
      </c>
      <c r="D7" s="4" t="n">
        <v>40</v>
      </c>
      <c r="E7" s="4" t="n">
        <v>70</v>
      </c>
      <c r="F7" s="3" t="s">
        <v>18</v>
      </c>
    </row>
    <row r="8" customFormat="false" ht="17.15" hidden="false" customHeight="false" outlineLevel="0" collapsed="false">
      <c r="A8" s="8" t="s">
        <v>19</v>
      </c>
      <c r="B8" s="4" t="n">
        <v>190</v>
      </c>
      <c r="C8" s="4" t="n">
        <v>45</v>
      </c>
      <c r="D8" s="4" t="n">
        <v>55</v>
      </c>
      <c r="E8" s="4" t="n">
        <v>45</v>
      </c>
      <c r="F8" s="9" t="s">
        <v>20</v>
      </c>
    </row>
    <row r="10" customFormat="false" ht="15" hidden="false" customHeight="false" outlineLevel="0" collapsed="false">
      <c r="A10" s="10" t="s">
        <v>21</v>
      </c>
      <c r="B10" s="11" t="n">
        <v>0.1</v>
      </c>
    </row>
    <row r="12" customFormat="false" ht="15" hidden="false" customHeight="false" outlineLevel="0" collapsed="false">
      <c r="A12" s="6" t="s">
        <v>22</v>
      </c>
    </row>
    <row r="13" customFormat="false" ht="15" hidden="false" customHeight="false" outlineLevel="0" collapsed="false">
      <c r="A13" s="6" t="s">
        <v>23</v>
      </c>
    </row>
    <row r="14" customFormat="false" ht="15" hidden="false" customHeight="false" outlineLevel="0" collapsed="false">
      <c r="A14" s="6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9" min="6" style="0" width="8"/>
  </cols>
  <sheetData>
    <row r="1" customFormat="false" ht="17.15" hidden="false" customHeight="false" outlineLevel="0" collapsed="false">
      <c r="A1" s="1" t="s">
        <v>0</v>
      </c>
      <c r="B1" s="2" t="s">
        <v>8</v>
      </c>
      <c r="C1" s="2" t="s">
        <v>25</v>
      </c>
      <c r="D1" s="2" t="s">
        <v>1</v>
      </c>
      <c r="E1" s="2" t="s">
        <v>2</v>
      </c>
      <c r="F1" s="1" t="s">
        <v>3</v>
      </c>
      <c r="G1" s="2" t="s">
        <v>4</v>
      </c>
      <c r="H1" s="2" t="s">
        <v>5</v>
      </c>
      <c r="I1" s="2" t="s">
        <v>9</v>
      </c>
      <c r="K1" s="12" t="s">
        <v>26</v>
      </c>
    </row>
    <row r="2" customFormat="false" ht="17.15" hidden="false" customHeight="false" outlineLevel="0" collapsed="false">
      <c r="A2" s="3" t="n">
        <v>1</v>
      </c>
      <c r="B2" s="8" t="s">
        <v>11</v>
      </c>
      <c r="C2" s="3" t="n">
        <v>1</v>
      </c>
      <c r="D2" s="13" t="str">
        <f aca="false">INDEX(変化6通り!$B$2:$B$7,C2)</f>
        <v>HP</v>
      </c>
      <c r="E2" s="13" t="str">
        <f aca="false">INDEX(変化6通り!$C$2:$C$7,C2)</f>
        <v>攻撃</v>
      </c>
      <c r="F2" s="13" t="n">
        <f aca="false">ROUND(INDEX(基本ステータス!$B$4:$B$8,MATCH($B2,基本ステータス!$A$4:$A$8,0))*(1+IF($D2="HP",基本ステータス!$B$10,0)-IF($E2="HP",基本ステータス!$B$10,0)),0)</f>
        <v>165</v>
      </c>
      <c r="G2" s="13" t="n">
        <f aca="false">ROUND(INDEX(基本ステータス!$C$4:$C$8,MATCH($B2,基本ステータス!$A$4:$A$8,0))*(1+IF($D2="攻撃",基本ステータス!$B$10,0)-IF($E2="攻撃",基本ステータス!$B$10,0)),0)</f>
        <v>59</v>
      </c>
      <c r="H2" s="13" t="n">
        <f aca="false">ROUND(INDEX(基本ステータス!$D$4:$D$8,MATCH($B2,基本ステータス!$A$4:$A$8,0))*(1+IF($D2="守備",基本ステータス!$B$10,0)-IF($E2="守備",基本ステータス!$B$10,0)),0)</f>
        <v>35</v>
      </c>
      <c r="I2" s="13" t="n">
        <f aca="false">INDEX(基本ステータス!$E$4:$E$8,MATCH($B2,基本ステータス!$A$4:$A$8,0))</f>
        <v>80</v>
      </c>
    </row>
    <row r="3" customFormat="false" ht="17.15" hidden="false" customHeight="false" outlineLevel="0" collapsed="false">
      <c r="A3" s="3" t="n">
        <v>2</v>
      </c>
      <c r="B3" s="8" t="s">
        <v>11</v>
      </c>
      <c r="C3" s="3" t="n">
        <v>2</v>
      </c>
      <c r="D3" s="13" t="str">
        <f aca="false">INDEX(変化6通り!$B$2:$B$7,C3)</f>
        <v>HP</v>
      </c>
      <c r="E3" s="13" t="str">
        <f aca="false">INDEX(変化6通り!$C$2:$C$7,C3)</f>
        <v>守備</v>
      </c>
      <c r="F3" s="13" t="n">
        <f aca="false">ROUND(INDEX(基本ステータス!$B$4:$B$8,MATCH($B3,基本ステータス!$A$4:$A$8,0))*(1+IF($D3="HP",基本ステータス!$B$10,0)-IF($E3="HP",基本ステータス!$B$10,0)),0)</f>
        <v>165</v>
      </c>
      <c r="G3" s="13" t="n">
        <f aca="false">ROUND(INDEX(基本ステータス!$C$4:$C$8,MATCH($B3,基本ステータス!$A$4:$A$8,0))*(1+IF($D3="攻撃",基本ステータス!$B$10,0)-IF($E3="攻撃",基本ステータス!$B$10,0)),0)</f>
        <v>65</v>
      </c>
      <c r="H3" s="13" t="n">
        <f aca="false">ROUND(INDEX(基本ステータス!$D$4:$D$8,MATCH($B3,基本ステータス!$A$4:$A$8,0))*(1+IF($D3="守備",基本ステータス!$B$10,0)-IF($E3="守備",基本ステータス!$B$10,0)),0)</f>
        <v>32</v>
      </c>
      <c r="I3" s="13" t="n">
        <f aca="false">INDEX(基本ステータス!$E$4:$E$8,MATCH($B3,基本ステータス!$A$4:$A$8,0))</f>
        <v>80</v>
      </c>
    </row>
    <row r="4" customFormat="false" ht="17.15" hidden="false" customHeight="false" outlineLevel="0" collapsed="false">
      <c r="A4" s="3" t="n">
        <v>3</v>
      </c>
      <c r="B4" s="8" t="s">
        <v>11</v>
      </c>
      <c r="C4" s="3" t="n">
        <v>3</v>
      </c>
      <c r="D4" s="13" t="str">
        <f aca="false">INDEX(変化6通り!$B$2:$B$7,C4)</f>
        <v>攻撃</v>
      </c>
      <c r="E4" s="13" t="str">
        <f aca="false">INDEX(変化6通り!$C$2:$C$7,C4)</f>
        <v>HP</v>
      </c>
      <c r="F4" s="13" t="n">
        <f aca="false">ROUND(INDEX(基本ステータス!$B$4:$B$8,MATCH($B4,基本ステータス!$A$4:$A$8,0))*(1+IF($D4="HP",基本ステータス!$B$10,0)-IF($E4="HP",基本ステータス!$B$10,0)),0)</f>
        <v>135</v>
      </c>
      <c r="G4" s="13" t="n">
        <f aca="false">ROUND(INDEX(基本ステータス!$C$4:$C$8,MATCH($B4,基本ステータス!$A$4:$A$8,0))*(1+IF($D4="攻撃",基本ステータス!$B$10,0)-IF($E4="攻撃",基本ステータス!$B$10,0)),0)</f>
        <v>72</v>
      </c>
      <c r="H4" s="13" t="n">
        <f aca="false">ROUND(INDEX(基本ステータス!$D$4:$D$8,MATCH($B4,基本ステータス!$A$4:$A$8,0))*(1+IF($D4="守備",基本ステータス!$B$10,0)-IF($E4="守備",基本ステータス!$B$10,0)),0)</f>
        <v>35</v>
      </c>
      <c r="I4" s="13" t="n">
        <f aca="false">INDEX(基本ステータス!$E$4:$E$8,MATCH($B4,基本ステータス!$A$4:$A$8,0))</f>
        <v>80</v>
      </c>
    </row>
    <row r="5" customFormat="false" ht="17.15" hidden="false" customHeight="false" outlineLevel="0" collapsed="false">
      <c r="A5" s="3" t="n">
        <v>4</v>
      </c>
      <c r="B5" s="8" t="s">
        <v>11</v>
      </c>
      <c r="C5" s="3" t="n">
        <v>4</v>
      </c>
      <c r="D5" s="13" t="str">
        <f aca="false">INDEX(変化6通り!$B$2:$B$7,C5)</f>
        <v>攻撃</v>
      </c>
      <c r="E5" s="13" t="str">
        <f aca="false">INDEX(変化6通り!$C$2:$C$7,C5)</f>
        <v>守備</v>
      </c>
      <c r="F5" s="13" t="n">
        <f aca="false">ROUND(INDEX(基本ステータス!$B$4:$B$8,MATCH($B5,基本ステータス!$A$4:$A$8,0))*(1+IF($D5="HP",基本ステータス!$B$10,0)-IF($E5="HP",基本ステータス!$B$10,0)),0)</f>
        <v>150</v>
      </c>
      <c r="G5" s="13" t="n">
        <f aca="false">ROUND(INDEX(基本ステータス!$C$4:$C$8,MATCH($B5,基本ステータス!$A$4:$A$8,0))*(1+IF($D5="攻撃",基本ステータス!$B$10,0)-IF($E5="攻撃",基本ステータス!$B$10,0)),0)</f>
        <v>72</v>
      </c>
      <c r="H5" s="13" t="n">
        <f aca="false">ROUND(INDEX(基本ステータス!$D$4:$D$8,MATCH($B5,基本ステータス!$A$4:$A$8,0))*(1+IF($D5="守備",基本ステータス!$B$10,0)-IF($E5="守備",基本ステータス!$B$10,0)),0)</f>
        <v>32</v>
      </c>
      <c r="I5" s="13" t="n">
        <f aca="false">INDEX(基本ステータス!$E$4:$E$8,MATCH($B5,基本ステータス!$A$4:$A$8,0))</f>
        <v>80</v>
      </c>
    </row>
    <row r="6" customFormat="false" ht="17.15" hidden="false" customHeight="false" outlineLevel="0" collapsed="false">
      <c r="A6" s="3" t="n">
        <v>5</v>
      </c>
      <c r="B6" s="8" t="s">
        <v>11</v>
      </c>
      <c r="C6" s="3" t="n">
        <v>5</v>
      </c>
      <c r="D6" s="13" t="str">
        <f aca="false">INDEX(変化6通り!$B$2:$B$7,C6)</f>
        <v>守備</v>
      </c>
      <c r="E6" s="13" t="str">
        <f aca="false">INDEX(変化6通り!$C$2:$C$7,C6)</f>
        <v>HP</v>
      </c>
      <c r="F6" s="13" t="n">
        <f aca="false">ROUND(INDEX(基本ステータス!$B$4:$B$8,MATCH($B6,基本ステータス!$A$4:$A$8,0))*(1+IF($D6="HP",基本ステータス!$B$10,0)-IF($E6="HP",基本ステータス!$B$10,0)),0)</f>
        <v>135</v>
      </c>
      <c r="G6" s="13" t="n">
        <f aca="false">ROUND(INDEX(基本ステータス!$C$4:$C$8,MATCH($B6,基本ステータス!$A$4:$A$8,0))*(1+IF($D6="攻撃",基本ステータス!$B$10,0)-IF($E6="攻撃",基本ステータス!$B$10,0)),0)</f>
        <v>65</v>
      </c>
      <c r="H6" s="13" t="n">
        <f aca="false">ROUND(INDEX(基本ステータス!$D$4:$D$8,MATCH($B6,基本ステータス!$A$4:$A$8,0))*(1+IF($D6="守備",基本ステータス!$B$10,0)-IF($E6="守備",基本ステータス!$B$10,0)),0)</f>
        <v>39</v>
      </c>
      <c r="I6" s="13" t="n">
        <f aca="false">INDEX(基本ステータス!$E$4:$E$8,MATCH($B6,基本ステータス!$A$4:$A$8,0))</f>
        <v>80</v>
      </c>
    </row>
    <row r="7" customFormat="false" ht="17.15" hidden="false" customHeight="false" outlineLevel="0" collapsed="false">
      <c r="A7" s="3" t="n">
        <v>6</v>
      </c>
      <c r="B7" s="8" t="s">
        <v>11</v>
      </c>
      <c r="C7" s="3" t="n">
        <v>6</v>
      </c>
      <c r="D7" s="13" t="str">
        <f aca="false">INDEX(変化6通り!$B$2:$B$7,C7)</f>
        <v>守備</v>
      </c>
      <c r="E7" s="13" t="str">
        <f aca="false">INDEX(変化6通り!$C$2:$C$7,C7)</f>
        <v>攻撃</v>
      </c>
      <c r="F7" s="13" t="n">
        <f aca="false">ROUND(INDEX(基本ステータス!$B$4:$B$8,MATCH($B7,基本ステータス!$A$4:$A$8,0))*(1+IF($D7="HP",基本ステータス!$B$10,0)-IF($E7="HP",基本ステータス!$B$10,0)),0)</f>
        <v>150</v>
      </c>
      <c r="G7" s="13" t="n">
        <f aca="false">ROUND(INDEX(基本ステータス!$C$4:$C$8,MATCH($B7,基本ステータス!$A$4:$A$8,0))*(1+IF($D7="攻撃",基本ステータス!$B$10,0)-IF($E7="攻撃",基本ステータス!$B$10,0)),0)</f>
        <v>59</v>
      </c>
      <c r="H7" s="13" t="n">
        <f aca="false">ROUND(INDEX(基本ステータス!$D$4:$D$8,MATCH($B7,基本ステータス!$A$4:$A$8,0))*(1+IF($D7="守備",基本ステータス!$B$10,0)-IF($E7="守備",基本ステータス!$B$10,0)),0)</f>
        <v>39</v>
      </c>
      <c r="I7" s="13" t="n">
        <f aca="false">INDEX(基本ステータス!$E$4:$E$8,MATCH($B7,基本ステータス!$A$4:$A$8,0))</f>
        <v>80</v>
      </c>
    </row>
    <row r="8" customFormat="false" ht="17.15" hidden="false" customHeight="false" outlineLevel="0" collapsed="false">
      <c r="A8" s="3" t="n">
        <v>7</v>
      </c>
      <c r="B8" s="8" t="s">
        <v>13</v>
      </c>
      <c r="C8" s="3" t="n">
        <v>1</v>
      </c>
      <c r="D8" s="13" t="str">
        <f aca="false">INDEX(変化6通り!$B$2:$B$7,C8)</f>
        <v>HP</v>
      </c>
      <c r="E8" s="13" t="str">
        <f aca="false">INDEX(変化6通り!$C$2:$C$7,C8)</f>
        <v>攻撃</v>
      </c>
      <c r="F8" s="13" t="n">
        <f aca="false">ROUND(INDEX(基本ステータス!$B$4:$B$8,MATCH($B8,基本ステータス!$A$4:$A$8,0))*(1+IF($D8="HP",基本ステータス!$B$10,0)-IF($E8="HP",基本ステータス!$B$10,0)),0)</f>
        <v>220</v>
      </c>
      <c r="G8" s="13" t="n">
        <f aca="false">ROUND(INDEX(基本ステータス!$C$4:$C$8,MATCH($B8,基本ステータス!$A$4:$A$8,0))*(1+IF($D8="攻撃",基本ステータス!$B$10,0)-IF($E8="攻撃",基本ステータス!$B$10,0)),0)</f>
        <v>45</v>
      </c>
      <c r="H8" s="13" t="n">
        <f aca="false">ROUND(INDEX(基本ステータス!$D$4:$D$8,MATCH($B8,基本ステータス!$A$4:$A$8,0))*(1+IF($D8="守備",基本ステータス!$B$10,0)-IF($E8="守備",基本ステータス!$B$10,0)),0)</f>
        <v>50</v>
      </c>
      <c r="I8" s="13" t="n">
        <f aca="false">INDEX(基本ステータス!$E$4:$E$8,MATCH($B8,基本ステータス!$A$4:$A$8,0))</f>
        <v>50</v>
      </c>
    </row>
    <row r="9" customFormat="false" ht="17.15" hidden="false" customHeight="false" outlineLevel="0" collapsed="false">
      <c r="A9" s="3" t="n">
        <v>8</v>
      </c>
      <c r="B9" s="8" t="s">
        <v>13</v>
      </c>
      <c r="C9" s="3" t="n">
        <v>2</v>
      </c>
      <c r="D9" s="13" t="str">
        <f aca="false">INDEX(変化6通り!$B$2:$B$7,C9)</f>
        <v>HP</v>
      </c>
      <c r="E9" s="13" t="str">
        <f aca="false">INDEX(変化6通り!$C$2:$C$7,C9)</f>
        <v>守備</v>
      </c>
      <c r="F9" s="13" t="n">
        <f aca="false">ROUND(INDEX(基本ステータス!$B$4:$B$8,MATCH($B9,基本ステータス!$A$4:$A$8,0))*(1+IF($D9="HP",基本ステータス!$B$10,0)-IF($E9="HP",基本ステータス!$B$10,0)),0)</f>
        <v>220</v>
      </c>
      <c r="G9" s="13" t="n">
        <f aca="false">ROUND(INDEX(基本ステータス!$C$4:$C$8,MATCH($B9,基本ステータス!$A$4:$A$8,0))*(1+IF($D9="攻撃",基本ステータス!$B$10,0)-IF($E9="攻撃",基本ステータス!$B$10,0)),0)</f>
        <v>50</v>
      </c>
      <c r="H9" s="13" t="n">
        <f aca="false">ROUND(INDEX(基本ステータス!$D$4:$D$8,MATCH($B9,基本ステータス!$A$4:$A$8,0))*(1+IF($D9="守備",基本ステータス!$B$10,0)-IF($E9="守備",基本ステータス!$B$10,0)),0)</f>
        <v>45</v>
      </c>
      <c r="I9" s="13" t="n">
        <f aca="false">INDEX(基本ステータス!$E$4:$E$8,MATCH($B9,基本ステータス!$A$4:$A$8,0))</f>
        <v>50</v>
      </c>
    </row>
    <row r="10" customFormat="false" ht="17.15" hidden="false" customHeight="false" outlineLevel="0" collapsed="false">
      <c r="A10" s="3" t="n">
        <v>9</v>
      </c>
      <c r="B10" s="8" t="s">
        <v>13</v>
      </c>
      <c r="C10" s="3" t="n">
        <v>3</v>
      </c>
      <c r="D10" s="13" t="str">
        <f aca="false">INDEX(変化6通り!$B$2:$B$7,C10)</f>
        <v>攻撃</v>
      </c>
      <c r="E10" s="13" t="str">
        <f aca="false">INDEX(変化6通り!$C$2:$C$7,C10)</f>
        <v>HP</v>
      </c>
      <c r="F10" s="13" t="n">
        <f aca="false">ROUND(INDEX(基本ステータス!$B$4:$B$8,MATCH($B10,基本ステータス!$A$4:$A$8,0))*(1+IF($D10="HP",基本ステータス!$B$10,0)-IF($E10="HP",基本ステータス!$B$10,0)),0)</f>
        <v>180</v>
      </c>
      <c r="G10" s="13" t="n">
        <f aca="false">ROUND(INDEX(基本ステータス!$C$4:$C$8,MATCH($B10,基本ステータス!$A$4:$A$8,0))*(1+IF($D10="攻撃",基本ステータス!$B$10,0)-IF($E10="攻撃",基本ステータス!$B$10,0)),0)</f>
        <v>55</v>
      </c>
      <c r="H10" s="13" t="n">
        <f aca="false">ROUND(INDEX(基本ステータス!$D$4:$D$8,MATCH($B10,基本ステータス!$A$4:$A$8,0))*(1+IF($D10="守備",基本ステータス!$B$10,0)-IF($E10="守備",基本ステータス!$B$10,0)),0)</f>
        <v>50</v>
      </c>
      <c r="I10" s="13" t="n">
        <f aca="false">INDEX(基本ステータス!$E$4:$E$8,MATCH($B10,基本ステータス!$A$4:$A$8,0))</f>
        <v>50</v>
      </c>
    </row>
    <row r="11" customFormat="false" ht="17.15" hidden="false" customHeight="false" outlineLevel="0" collapsed="false">
      <c r="A11" s="3" t="n">
        <v>10</v>
      </c>
      <c r="B11" s="8" t="s">
        <v>13</v>
      </c>
      <c r="C11" s="3" t="n">
        <v>4</v>
      </c>
      <c r="D11" s="13" t="str">
        <f aca="false">INDEX(変化6通り!$B$2:$B$7,C11)</f>
        <v>攻撃</v>
      </c>
      <c r="E11" s="13" t="str">
        <f aca="false">INDEX(変化6通り!$C$2:$C$7,C11)</f>
        <v>守備</v>
      </c>
      <c r="F11" s="13" t="n">
        <f aca="false">ROUND(INDEX(基本ステータス!$B$4:$B$8,MATCH($B11,基本ステータス!$A$4:$A$8,0))*(1+IF($D11="HP",基本ステータス!$B$10,0)-IF($E11="HP",基本ステータス!$B$10,0)),0)</f>
        <v>200</v>
      </c>
      <c r="G11" s="13" t="n">
        <f aca="false">ROUND(INDEX(基本ステータス!$C$4:$C$8,MATCH($B11,基本ステータス!$A$4:$A$8,0))*(1+IF($D11="攻撃",基本ステータス!$B$10,0)-IF($E11="攻撃",基本ステータス!$B$10,0)),0)</f>
        <v>55</v>
      </c>
      <c r="H11" s="13" t="n">
        <f aca="false">ROUND(INDEX(基本ステータス!$D$4:$D$8,MATCH($B11,基本ステータス!$A$4:$A$8,0))*(1+IF($D11="守備",基本ステータス!$B$10,0)-IF($E11="守備",基本ステータス!$B$10,0)),0)</f>
        <v>45</v>
      </c>
      <c r="I11" s="13" t="n">
        <f aca="false">INDEX(基本ステータス!$E$4:$E$8,MATCH($B11,基本ステータス!$A$4:$A$8,0))</f>
        <v>50</v>
      </c>
    </row>
    <row r="12" customFormat="false" ht="17.15" hidden="false" customHeight="false" outlineLevel="0" collapsed="false">
      <c r="A12" s="3" t="n">
        <v>11</v>
      </c>
      <c r="B12" s="8" t="s">
        <v>13</v>
      </c>
      <c r="C12" s="3" t="n">
        <v>5</v>
      </c>
      <c r="D12" s="13" t="str">
        <f aca="false">INDEX(変化6通り!$B$2:$B$7,C12)</f>
        <v>守備</v>
      </c>
      <c r="E12" s="13" t="str">
        <f aca="false">INDEX(変化6通り!$C$2:$C$7,C12)</f>
        <v>HP</v>
      </c>
      <c r="F12" s="13" t="n">
        <f aca="false">ROUND(INDEX(基本ステータス!$B$4:$B$8,MATCH($B12,基本ステータス!$A$4:$A$8,0))*(1+IF($D12="HP",基本ステータス!$B$10,0)-IF($E12="HP",基本ステータス!$B$10,0)),0)</f>
        <v>180</v>
      </c>
      <c r="G12" s="13" t="n">
        <f aca="false">ROUND(INDEX(基本ステータス!$C$4:$C$8,MATCH($B12,基本ステータス!$A$4:$A$8,0))*(1+IF($D12="攻撃",基本ステータス!$B$10,0)-IF($E12="攻撃",基本ステータス!$B$10,0)),0)</f>
        <v>50</v>
      </c>
      <c r="H12" s="13" t="n">
        <f aca="false">ROUND(INDEX(基本ステータス!$D$4:$D$8,MATCH($B12,基本ステータス!$A$4:$A$8,0))*(1+IF($D12="守備",基本ステータス!$B$10,0)-IF($E12="守備",基本ステータス!$B$10,0)),0)</f>
        <v>55</v>
      </c>
      <c r="I12" s="13" t="n">
        <f aca="false">INDEX(基本ステータス!$E$4:$E$8,MATCH($B12,基本ステータス!$A$4:$A$8,0))</f>
        <v>50</v>
      </c>
    </row>
    <row r="13" customFormat="false" ht="17.15" hidden="false" customHeight="false" outlineLevel="0" collapsed="false">
      <c r="A13" s="3" t="n">
        <v>12</v>
      </c>
      <c r="B13" s="8" t="s">
        <v>13</v>
      </c>
      <c r="C13" s="3" t="n">
        <v>6</v>
      </c>
      <c r="D13" s="13" t="str">
        <f aca="false">INDEX(変化6通り!$B$2:$B$7,C13)</f>
        <v>守備</v>
      </c>
      <c r="E13" s="13" t="str">
        <f aca="false">INDEX(変化6通り!$C$2:$C$7,C13)</f>
        <v>攻撃</v>
      </c>
      <c r="F13" s="13" t="n">
        <f aca="false">ROUND(INDEX(基本ステータス!$B$4:$B$8,MATCH($B13,基本ステータス!$A$4:$A$8,0))*(1+IF($D13="HP",基本ステータス!$B$10,0)-IF($E13="HP",基本ステータス!$B$10,0)),0)</f>
        <v>200</v>
      </c>
      <c r="G13" s="13" t="n">
        <f aca="false">ROUND(INDEX(基本ステータス!$C$4:$C$8,MATCH($B13,基本ステータス!$A$4:$A$8,0))*(1+IF($D13="攻撃",基本ステータス!$B$10,0)-IF($E13="攻撃",基本ステータス!$B$10,0)),0)</f>
        <v>45</v>
      </c>
      <c r="H13" s="13" t="n">
        <f aca="false">ROUND(INDEX(基本ステータス!$D$4:$D$8,MATCH($B13,基本ステータス!$A$4:$A$8,0))*(1+IF($D13="守備",基本ステータス!$B$10,0)-IF($E13="守備",基本ステータス!$B$10,0)),0)</f>
        <v>55</v>
      </c>
      <c r="I13" s="13" t="n">
        <f aca="false">INDEX(基本ステータス!$E$4:$E$8,MATCH($B13,基本ステータス!$A$4:$A$8,0))</f>
        <v>50</v>
      </c>
    </row>
    <row r="14" customFormat="false" ht="17.15" hidden="false" customHeight="false" outlineLevel="0" collapsed="false">
      <c r="A14" s="3" t="n">
        <v>13</v>
      </c>
      <c r="B14" s="8" t="s">
        <v>15</v>
      </c>
      <c r="C14" s="3" t="n">
        <v>1</v>
      </c>
      <c r="D14" s="13" t="str">
        <f aca="false">INDEX(変化6通り!$B$2:$B$7,C14)</f>
        <v>HP</v>
      </c>
      <c r="E14" s="13" t="str">
        <f aca="false">INDEX(変化6通り!$C$2:$C$7,C14)</f>
        <v>攻撃</v>
      </c>
      <c r="F14" s="13" t="n">
        <f aca="false">ROUND(INDEX(基本ステータス!$B$4:$B$8,MATCH($B14,基本ステータス!$A$4:$A$8,0))*(1+IF($D14="HP",基本ステータス!$B$10,0)-IF($E14="HP",基本ステータス!$B$10,0)),0)</f>
        <v>264</v>
      </c>
      <c r="G14" s="13" t="n">
        <f aca="false">ROUND(INDEX(基本ステータス!$C$4:$C$8,MATCH($B14,基本ステータス!$A$4:$A$8,0))*(1+IF($D14="攻撃",基本ステータス!$B$10,0)-IF($E14="攻撃",基本ステータス!$B$10,0)),0)</f>
        <v>36</v>
      </c>
      <c r="H14" s="13" t="n">
        <f aca="false">ROUND(INDEX(基本ステータス!$D$4:$D$8,MATCH($B14,基本ステータス!$A$4:$A$8,0))*(1+IF($D14="守備",基本ステータス!$B$10,0)-IF($E14="守備",基本ステータス!$B$10,0)),0)</f>
        <v>60</v>
      </c>
      <c r="I14" s="13" t="n">
        <f aca="false">INDEX(基本ステータス!$E$4:$E$8,MATCH($B14,基本ステータス!$A$4:$A$8,0))</f>
        <v>25</v>
      </c>
    </row>
    <row r="15" customFormat="false" ht="17.15" hidden="false" customHeight="false" outlineLevel="0" collapsed="false">
      <c r="A15" s="3" t="n">
        <v>14</v>
      </c>
      <c r="B15" s="8" t="s">
        <v>15</v>
      </c>
      <c r="C15" s="3" t="n">
        <v>2</v>
      </c>
      <c r="D15" s="13" t="str">
        <f aca="false">INDEX(変化6通り!$B$2:$B$7,C15)</f>
        <v>HP</v>
      </c>
      <c r="E15" s="13" t="str">
        <f aca="false">INDEX(変化6通り!$C$2:$C$7,C15)</f>
        <v>守備</v>
      </c>
      <c r="F15" s="13" t="n">
        <f aca="false">ROUND(INDEX(基本ステータス!$B$4:$B$8,MATCH($B15,基本ステータス!$A$4:$A$8,0))*(1+IF($D15="HP",基本ステータス!$B$10,0)-IF($E15="HP",基本ステータス!$B$10,0)),0)</f>
        <v>264</v>
      </c>
      <c r="G15" s="13" t="n">
        <f aca="false">ROUND(INDEX(基本ステータス!$C$4:$C$8,MATCH($B15,基本ステータス!$A$4:$A$8,0))*(1+IF($D15="攻撃",基本ステータス!$B$10,0)-IF($E15="攻撃",基本ステータス!$B$10,0)),0)</f>
        <v>40</v>
      </c>
      <c r="H15" s="13" t="n">
        <f aca="false">ROUND(INDEX(基本ステータス!$D$4:$D$8,MATCH($B15,基本ステータス!$A$4:$A$8,0))*(1+IF($D15="守備",基本ステータス!$B$10,0)-IF($E15="守備",基本ステータス!$B$10,0)),0)</f>
        <v>54</v>
      </c>
      <c r="I15" s="13" t="n">
        <f aca="false">INDEX(基本ステータス!$E$4:$E$8,MATCH($B15,基本ステータス!$A$4:$A$8,0))</f>
        <v>25</v>
      </c>
    </row>
    <row r="16" customFormat="false" ht="17.15" hidden="false" customHeight="false" outlineLevel="0" collapsed="false">
      <c r="A16" s="3" t="n">
        <v>15</v>
      </c>
      <c r="B16" s="8" t="s">
        <v>15</v>
      </c>
      <c r="C16" s="3" t="n">
        <v>3</v>
      </c>
      <c r="D16" s="13" t="str">
        <f aca="false">INDEX(変化6通り!$B$2:$B$7,C16)</f>
        <v>攻撃</v>
      </c>
      <c r="E16" s="13" t="str">
        <f aca="false">INDEX(変化6通り!$C$2:$C$7,C16)</f>
        <v>HP</v>
      </c>
      <c r="F16" s="13" t="n">
        <f aca="false">ROUND(INDEX(基本ステータス!$B$4:$B$8,MATCH($B16,基本ステータス!$A$4:$A$8,0))*(1+IF($D16="HP",基本ステータス!$B$10,0)-IF($E16="HP",基本ステータス!$B$10,0)),0)</f>
        <v>216</v>
      </c>
      <c r="G16" s="13" t="n">
        <f aca="false">ROUND(INDEX(基本ステータス!$C$4:$C$8,MATCH($B16,基本ステータス!$A$4:$A$8,0))*(1+IF($D16="攻撃",基本ステータス!$B$10,0)-IF($E16="攻撃",基本ステータス!$B$10,0)),0)</f>
        <v>44</v>
      </c>
      <c r="H16" s="13" t="n">
        <f aca="false">ROUND(INDEX(基本ステータス!$D$4:$D$8,MATCH($B16,基本ステータス!$A$4:$A$8,0))*(1+IF($D16="守備",基本ステータス!$B$10,0)-IF($E16="守備",基本ステータス!$B$10,0)),0)</f>
        <v>60</v>
      </c>
      <c r="I16" s="13" t="n">
        <f aca="false">INDEX(基本ステータス!$E$4:$E$8,MATCH($B16,基本ステータス!$A$4:$A$8,0))</f>
        <v>25</v>
      </c>
    </row>
    <row r="17" customFormat="false" ht="17.15" hidden="false" customHeight="false" outlineLevel="0" collapsed="false">
      <c r="A17" s="3" t="n">
        <v>16</v>
      </c>
      <c r="B17" s="8" t="s">
        <v>15</v>
      </c>
      <c r="C17" s="3" t="n">
        <v>4</v>
      </c>
      <c r="D17" s="13" t="str">
        <f aca="false">INDEX(変化6通り!$B$2:$B$7,C17)</f>
        <v>攻撃</v>
      </c>
      <c r="E17" s="13" t="str">
        <f aca="false">INDEX(変化6通り!$C$2:$C$7,C17)</f>
        <v>守備</v>
      </c>
      <c r="F17" s="13" t="n">
        <f aca="false">ROUND(INDEX(基本ステータス!$B$4:$B$8,MATCH($B17,基本ステータス!$A$4:$A$8,0))*(1+IF($D17="HP",基本ステータス!$B$10,0)-IF($E17="HP",基本ステータス!$B$10,0)),0)</f>
        <v>240</v>
      </c>
      <c r="G17" s="13" t="n">
        <f aca="false">ROUND(INDEX(基本ステータス!$C$4:$C$8,MATCH($B17,基本ステータス!$A$4:$A$8,0))*(1+IF($D17="攻撃",基本ステータス!$B$10,0)-IF($E17="攻撃",基本ステータス!$B$10,0)),0)</f>
        <v>44</v>
      </c>
      <c r="H17" s="13" t="n">
        <f aca="false">ROUND(INDEX(基本ステータス!$D$4:$D$8,MATCH($B17,基本ステータス!$A$4:$A$8,0))*(1+IF($D17="守備",基本ステータス!$B$10,0)-IF($E17="守備",基本ステータス!$B$10,0)),0)</f>
        <v>54</v>
      </c>
      <c r="I17" s="13" t="n">
        <f aca="false">INDEX(基本ステータス!$E$4:$E$8,MATCH($B17,基本ステータス!$A$4:$A$8,0))</f>
        <v>25</v>
      </c>
    </row>
    <row r="18" customFormat="false" ht="17.15" hidden="false" customHeight="false" outlineLevel="0" collapsed="false">
      <c r="A18" s="3" t="n">
        <v>17</v>
      </c>
      <c r="B18" s="8" t="s">
        <v>15</v>
      </c>
      <c r="C18" s="3" t="n">
        <v>5</v>
      </c>
      <c r="D18" s="13" t="str">
        <f aca="false">INDEX(変化6通り!$B$2:$B$7,C18)</f>
        <v>守備</v>
      </c>
      <c r="E18" s="13" t="str">
        <f aca="false">INDEX(変化6通り!$C$2:$C$7,C18)</f>
        <v>HP</v>
      </c>
      <c r="F18" s="13" t="n">
        <f aca="false">ROUND(INDEX(基本ステータス!$B$4:$B$8,MATCH($B18,基本ステータス!$A$4:$A$8,0))*(1+IF($D18="HP",基本ステータス!$B$10,0)-IF($E18="HP",基本ステータス!$B$10,0)),0)</f>
        <v>216</v>
      </c>
      <c r="G18" s="13" t="n">
        <f aca="false">ROUND(INDEX(基本ステータス!$C$4:$C$8,MATCH($B18,基本ステータス!$A$4:$A$8,0))*(1+IF($D18="攻撃",基本ステータス!$B$10,0)-IF($E18="攻撃",基本ステータス!$B$10,0)),0)</f>
        <v>40</v>
      </c>
      <c r="H18" s="13" t="n">
        <f aca="false">ROUND(INDEX(基本ステータス!$D$4:$D$8,MATCH($B18,基本ステータス!$A$4:$A$8,0))*(1+IF($D18="守備",基本ステータス!$B$10,0)-IF($E18="守備",基本ステータス!$B$10,0)),0)</f>
        <v>66</v>
      </c>
      <c r="I18" s="13" t="n">
        <f aca="false">INDEX(基本ステータス!$E$4:$E$8,MATCH($B18,基本ステータス!$A$4:$A$8,0))</f>
        <v>25</v>
      </c>
    </row>
    <row r="19" customFormat="false" ht="17.15" hidden="false" customHeight="false" outlineLevel="0" collapsed="false">
      <c r="A19" s="3" t="n">
        <v>18</v>
      </c>
      <c r="B19" s="8" t="s">
        <v>15</v>
      </c>
      <c r="C19" s="3" t="n">
        <v>6</v>
      </c>
      <c r="D19" s="13" t="str">
        <f aca="false">INDEX(変化6通り!$B$2:$B$7,C19)</f>
        <v>守備</v>
      </c>
      <c r="E19" s="13" t="str">
        <f aca="false">INDEX(変化6通り!$C$2:$C$7,C19)</f>
        <v>攻撃</v>
      </c>
      <c r="F19" s="13" t="n">
        <f aca="false">ROUND(INDEX(基本ステータス!$B$4:$B$8,MATCH($B19,基本ステータス!$A$4:$A$8,0))*(1+IF($D19="HP",基本ステータス!$B$10,0)-IF($E19="HP",基本ステータス!$B$10,0)),0)</f>
        <v>240</v>
      </c>
      <c r="G19" s="13" t="n">
        <f aca="false">ROUND(INDEX(基本ステータス!$C$4:$C$8,MATCH($B19,基本ステータス!$A$4:$A$8,0))*(1+IF($D19="攻撃",基本ステータス!$B$10,0)-IF($E19="攻撃",基本ステータス!$B$10,0)),0)</f>
        <v>36</v>
      </c>
      <c r="H19" s="13" t="n">
        <f aca="false">ROUND(INDEX(基本ステータス!$D$4:$D$8,MATCH($B19,基本ステータス!$A$4:$A$8,0))*(1+IF($D19="守備",基本ステータス!$B$10,0)-IF($E19="守備",基本ステータス!$B$10,0)),0)</f>
        <v>66</v>
      </c>
      <c r="I19" s="13" t="n">
        <f aca="false">INDEX(基本ステータス!$E$4:$E$8,MATCH($B19,基本ステータス!$A$4:$A$8,0))</f>
        <v>25</v>
      </c>
    </row>
    <row r="20" customFormat="false" ht="17.15" hidden="false" customHeight="false" outlineLevel="0" collapsed="false">
      <c r="A20" s="3" t="n">
        <v>19</v>
      </c>
      <c r="B20" s="8" t="s">
        <v>17</v>
      </c>
      <c r="C20" s="3" t="n">
        <v>1</v>
      </c>
      <c r="D20" s="13" t="str">
        <f aca="false">INDEX(変化6通り!$B$2:$B$7,C20)</f>
        <v>HP</v>
      </c>
      <c r="E20" s="13" t="str">
        <f aca="false">INDEX(変化6通り!$C$2:$C$7,C20)</f>
        <v>攻撃</v>
      </c>
      <c r="F20" s="13" t="n">
        <f aca="false">ROUND(INDEX(基本ステータス!$B$4:$B$8,MATCH($B20,基本ステータス!$A$4:$A$8,0))*(1+IF($D20="HP",基本ステータス!$B$10,0)-IF($E20="HP",基本ステータス!$B$10,0)),0)</f>
        <v>198</v>
      </c>
      <c r="G20" s="13" t="n">
        <f aca="false">ROUND(INDEX(基本ステータス!$C$4:$C$8,MATCH($B20,基本ステータス!$A$4:$A$8,0))*(1+IF($D20="攻撃",基本ステータス!$B$10,0)-IF($E20="攻撃",基本ステータス!$B$10,0)),0)</f>
        <v>50</v>
      </c>
      <c r="H20" s="13" t="n">
        <f aca="false">ROUND(INDEX(基本ステータス!$D$4:$D$8,MATCH($B20,基本ステータス!$A$4:$A$8,0))*(1+IF($D20="守備",基本ステータス!$B$10,0)-IF($E20="守備",基本ステータス!$B$10,0)),0)</f>
        <v>40</v>
      </c>
      <c r="I20" s="13" t="n">
        <f aca="false">INDEX(基本ステータス!$E$4:$E$8,MATCH($B20,基本ステータス!$A$4:$A$8,0))</f>
        <v>70</v>
      </c>
    </row>
    <row r="21" customFormat="false" ht="17.15" hidden="false" customHeight="false" outlineLevel="0" collapsed="false">
      <c r="A21" s="3" t="n">
        <v>20</v>
      </c>
      <c r="B21" s="8" t="s">
        <v>17</v>
      </c>
      <c r="C21" s="3" t="n">
        <v>2</v>
      </c>
      <c r="D21" s="13" t="str">
        <f aca="false">INDEX(変化6通り!$B$2:$B$7,C21)</f>
        <v>HP</v>
      </c>
      <c r="E21" s="13" t="str">
        <f aca="false">INDEX(変化6通り!$C$2:$C$7,C21)</f>
        <v>守備</v>
      </c>
      <c r="F21" s="13" t="n">
        <f aca="false">ROUND(INDEX(基本ステータス!$B$4:$B$8,MATCH($B21,基本ステータス!$A$4:$A$8,0))*(1+IF($D21="HP",基本ステータス!$B$10,0)-IF($E21="HP",基本ステータス!$B$10,0)),0)</f>
        <v>198</v>
      </c>
      <c r="G21" s="13" t="n">
        <f aca="false">ROUND(INDEX(基本ステータス!$C$4:$C$8,MATCH($B21,基本ステータス!$A$4:$A$8,0))*(1+IF($D21="攻撃",基本ステータス!$B$10,0)-IF($E21="攻撃",基本ステータス!$B$10,0)),0)</f>
        <v>55</v>
      </c>
      <c r="H21" s="13" t="n">
        <f aca="false">ROUND(INDEX(基本ステータス!$D$4:$D$8,MATCH($B21,基本ステータス!$A$4:$A$8,0))*(1+IF($D21="守備",基本ステータス!$B$10,0)-IF($E21="守備",基本ステータス!$B$10,0)),0)</f>
        <v>36</v>
      </c>
      <c r="I21" s="13" t="n">
        <f aca="false">INDEX(基本ステータス!$E$4:$E$8,MATCH($B21,基本ステータス!$A$4:$A$8,0))</f>
        <v>70</v>
      </c>
    </row>
    <row r="22" customFormat="false" ht="17.15" hidden="false" customHeight="false" outlineLevel="0" collapsed="false">
      <c r="A22" s="3" t="n">
        <v>21</v>
      </c>
      <c r="B22" s="8" t="s">
        <v>17</v>
      </c>
      <c r="C22" s="3" t="n">
        <v>3</v>
      </c>
      <c r="D22" s="13" t="str">
        <f aca="false">INDEX(変化6通り!$B$2:$B$7,C22)</f>
        <v>攻撃</v>
      </c>
      <c r="E22" s="13" t="str">
        <f aca="false">INDEX(変化6通り!$C$2:$C$7,C22)</f>
        <v>HP</v>
      </c>
      <c r="F22" s="13" t="n">
        <f aca="false">ROUND(INDEX(基本ステータス!$B$4:$B$8,MATCH($B22,基本ステータス!$A$4:$A$8,0))*(1+IF($D22="HP",基本ステータス!$B$10,0)-IF($E22="HP",基本ステータス!$B$10,0)),0)</f>
        <v>162</v>
      </c>
      <c r="G22" s="13" t="n">
        <f aca="false">ROUND(INDEX(基本ステータス!$C$4:$C$8,MATCH($B22,基本ステータス!$A$4:$A$8,0))*(1+IF($D22="攻撃",基本ステータス!$B$10,0)-IF($E22="攻撃",基本ステータス!$B$10,0)),0)</f>
        <v>61</v>
      </c>
      <c r="H22" s="13" t="n">
        <f aca="false">ROUND(INDEX(基本ステータス!$D$4:$D$8,MATCH($B22,基本ステータス!$A$4:$A$8,0))*(1+IF($D22="守備",基本ステータス!$B$10,0)-IF($E22="守備",基本ステータス!$B$10,0)),0)</f>
        <v>40</v>
      </c>
      <c r="I22" s="13" t="n">
        <f aca="false">INDEX(基本ステータス!$E$4:$E$8,MATCH($B22,基本ステータス!$A$4:$A$8,0))</f>
        <v>70</v>
      </c>
    </row>
    <row r="23" customFormat="false" ht="17.15" hidden="false" customHeight="false" outlineLevel="0" collapsed="false">
      <c r="A23" s="3" t="n">
        <v>22</v>
      </c>
      <c r="B23" s="8" t="s">
        <v>17</v>
      </c>
      <c r="C23" s="3" t="n">
        <v>4</v>
      </c>
      <c r="D23" s="13" t="str">
        <f aca="false">INDEX(変化6通り!$B$2:$B$7,C23)</f>
        <v>攻撃</v>
      </c>
      <c r="E23" s="13" t="str">
        <f aca="false">INDEX(変化6通り!$C$2:$C$7,C23)</f>
        <v>守備</v>
      </c>
      <c r="F23" s="13" t="n">
        <f aca="false">ROUND(INDEX(基本ステータス!$B$4:$B$8,MATCH($B23,基本ステータス!$A$4:$A$8,0))*(1+IF($D23="HP",基本ステータス!$B$10,0)-IF($E23="HP",基本ステータス!$B$10,0)),0)</f>
        <v>180</v>
      </c>
      <c r="G23" s="13" t="n">
        <f aca="false">ROUND(INDEX(基本ステータス!$C$4:$C$8,MATCH($B23,基本ステータス!$A$4:$A$8,0))*(1+IF($D23="攻撃",基本ステータス!$B$10,0)-IF($E23="攻撃",基本ステータス!$B$10,0)),0)</f>
        <v>61</v>
      </c>
      <c r="H23" s="13" t="n">
        <f aca="false">ROUND(INDEX(基本ステータス!$D$4:$D$8,MATCH($B23,基本ステータス!$A$4:$A$8,0))*(1+IF($D23="守備",基本ステータス!$B$10,0)-IF($E23="守備",基本ステータス!$B$10,0)),0)</f>
        <v>36</v>
      </c>
      <c r="I23" s="13" t="n">
        <f aca="false">INDEX(基本ステータス!$E$4:$E$8,MATCH($B23,基本ステータス!$A$4:$A$8,0))</f>
        <v>70</v>
      </c>
    </row>
    <row r="24" customFormat="false" ht="17.15" hidden="false" customHeight="false" outlineLevel="0" collapsed="false">
      <c r="A24" s="3" t="n">
        <v>23</v>
      </c>
      <c r="B24" s="8" t="s">
        <v>17</v>
      </c>
      <c r="C24" s="3" t="n">
        <v>5</v>
      </c>
      <c r="D24" s="13" t="str">
        <f aca="false">INDEX(変化6通り!$B$2:$B$7,C24)</f>
        <v>守備</v>
      </c>
      <c r="E24" s="13" t="str">
        <f aca="false">INDEX(変化6通り!$C$2:$C$7,C24)</f>
        <v>HP</v>
      </c>
      <c r="F24" s="13" t="n">
        <f aca="false">ROUND(INDEX(基本ステータス!$B$4:$B$8,MATCH($B24,基本ステータス!$A$4:$A$8,0))*(1+IF($D24="HP",基本ステータス!$B$10,0)-IF($E24="HP",基本ステータス!$B$10,0)),0)</f>
        <v>162</v>
      </c>
      <c r="G24" s="13" t="n">
        <f aca="false">ROUND(INDEX(基本ステータス!$C$4:$C$8,MATCH($B24,基本ステータス!$A$4:$A$8,0))*(1+IF($D24="攻撃",基本ステータス!$B$10,0)-IF($E24="攻撃",基本ステータス!$B$10,0)),0)</f>
        <v>55</v>
      </c>
      <c r="H24" s="13" t="n">
        <f aca="false">ROUND(INDEX(基本ステータス!$D$4:$D$8,MATCH($B24,基本ステータス!$A$4:$A$8,0))*(1+IF($D24="守備",基本ステータス!$B$10,0)-IF($E24="守備",基本ステータス!$B$10,0)),0)</f>
        <v>44</v>
      </c>
      <c r="I24" s="13" t="n">
        <f aca="false">INDEX(基本ステータス!$E$4:$E$8,MATCH($B24,基本ステータス!$A$4:$A$8,0))</f>
        <v>70</v>
      </c>
    </row>
    <row r="25" customFormat="false" ht="17.15" hidden="false" customHeight="false" outlineLevel="0" collapsed="false">
      <c r="A25" s="3" t="n">
        <v>24</v>
      </c>
      <c r="B25" s="8" t="s">
        <v>17</v>
      </c>
      <c r="C25" s="3" t="n">
        <v>6</v>
      </c>
      <c r="D25" s="13" t="str">
        <f aca="false">INDEX(変化6通り!$B$2:$B$7,C25)</f>
        <v>守備</v>
      </c>
      <c r="E25" s="13" t="str">
        <f aca="false">INDEX(変化6通り!$C$2:$C$7,C25)</f>
        <v>攻撃</v>
      </c>
      <c r="F25" s="13" t="n">
        <f aca="false">ROUND(INDEX(基本ステータス!$B$4:$B$8,MATCH($B25,基本ステータス!$A$4:$A$8,0))*(1+IF($D25="HP",基本ステータス!$B$10,0)-IF($E25="HP",基本ステータス!$B$10,0)),0)</f>
        <v>180</v>
      </c>
      <c r="G25" s="13" t="n">
        <f aca="false">ROUND(INDEX(基本ステータス!$C$4:$C$8,MATCH($B25,基本ステータス!$A$4:$A$8,0))*(1+IF($D25="攻撃",基本ステータス!$B$10,0)-IF($E25="攻撃",基本ステータス!$B$10,0)),0)</f>
        <v>50</v>
      </c>
      <c r="H25" s="13" t="n">
        <f aca="false">ROUND(INDEX(基本ステータス!$D$4:$D$8,MATCH($B25,基本ステータス!$A$4:$A$8,0))*(1+IF($D25="守備",基本ステータス!$B$10,0)-IF($E25="守備",基本ステータス!$B$10,0)),0)</f>
        <v>44</v>
      </c>
      <c r="I25" s="13" t="n">
        <f aca="false">INDEX(基本ステータス!$E$4:$E$8,MATCH($B25,基本ステータス!$A$4:$A$8,0))</f>
        <v>70</v>
      </c>
    </row>
    <row r="26" customFormat="false" ht="17.15" hidden="false" customHeight="false" outlineLevel="0" collapsed="false">
      <c r="A26" s="3" t="n">
        <v>25</v>
      </c>
      <c r="B26" s="8" t="s">
        <v>19</v>
      </c>
      <c r="C26" s="3" t="n">
        <v>1</v>
      </c>
      <c r="D26" s="13" t="str">
        <f aca="false">INDEX(変化6通り!$B$2:$B$7,C26)</f>
        <v>HP</v>
      </c>
      <c r="E26" s="13" t="str">
        <f aca="false">INDEX(変化6通り!$C$2:$C$7,C26)</f>
        <v>攻撃</v>
      </c>
      <c r="F26" s="13" t="n">
        <f aca="false">ROUND(INDEX(基本ステータス!$B$4:$B$8,MATCH($B26,基本ステータス!$A$4:$A$8,0))*(1+IF($D26="HP",基本ステータス!$B$10,0)-IF($E26="HP",基本ステータス!$B$10,0)),0)</f>
        <v>209</v>
      </c>
      <c r="G26" s="13" t="n">
        <f aca="false">ROUND(INDEX(基本ステータス!$C$4:$C$8,MATCH($B26,基本ステータス!$A$4:$A$8,0))*(1+IF($D26="攻撃",基本ステータス!$B$10,0)-IF($E26="攻撃",基本ステータス!$B$10,0)),0)</f>
        <v>41</v>
      </c>
      <c r="H26" s="13" t="n">
        <f aca="false">ROUND(INDEX(基本ステータス!$D$4:$D$8,MATCH($B26,基本ステータス!$A$4:$A$8,0))*(1+IF($D26="守備",基本ステータス!$B$10,0)-IF($E26="守備",基本ステータス!$B$10,0)),0)</f>
        <v>55</v>
      </c>
      <c r="I26" s="13" t="n">
        <f aca="false">INDEX(基本ステータス!$E$4:$E$8,MATCH($B26,基本ステータス!$A$4:$A$8,0))</f>
        <v>45</v>
      </c>
    </row>
    <row r="27" customFormat="false" ht="17.15" hidden="false" customHeight="false" outlineLevel="0" collapsed="false">
      <c r="A27" s="3" t="n">
        <v>26</v>
      </c>
      <c r="B27" s="8" t="s">
        <v>19</v>
      </c>
      <c r="C27" s="3" t="n">
        <v>2</v>
      </c>
      <c r="D27" s="13" t="str">
        <f aca="false">INDEX(変化6通り!$B$2:$B$7,C27)</f>
        <v>HP</v>
      </c>
      <c r="E27" s="13" t="str">
        <f aca="false">INDEX(変化6通り!$C$2:$C$7,C27)</f>
        <v>守備</v>
      </c>
      <c r="F27" s="13" t="n">
        <f aca="false">ROUND(INDEX(基本ステータス!$B$4:$B$8,MATCH($B27,基本ステータス!$A$4:$A$8,0))*(1+IF($D27="HP",基本ステータス!$B$10,0)-IF($E27="HP",基本ステータス!$B$10,0)),0)</f>
        <v>209</v>
      </c>
      <c r="G27" s="13" t="n">
        <f aca="false">ROUND(INDEX(基本ステータス!$C$4:$C$8,MATCH($B27,基本ステータス!$A$4:$A$8,0))*(1+IF($D27="攻撃",基本ステータス!$B$10,0)-IF($E27="攻撃",基本ステータス!$B$10,0)),0)</f>
        <v>45</v>
      </c>
      <c r="H27" s="13" t="n">
        <f aca="false">ROUND(INDEX(基本ステータス!$D$4:$D$8,MATCH($B27,基本ステータス!$A$4:$A$8,0))*(1+IF($D27="守備",基本ステータス!$B$10,0)-IF($E27="守備",基本ステータス!$B$10,0)),0)</f>
        <v>50</v>
      </c>
      <c r="I27" s="13" t="n">
        <f aca="false">INDEX(基本ステータス!$E$4:$E$8,MATCH($B27,基本ステータス!$A$4:$A$8,0))</f>
        <v>45</v>
      </c>
    </row>
    <row r="28" customFormat="false" ht="17.15" hidden="false" customHeight="false" outlineLevel="0" collapsed="false">
      <c r="A28" s="3" t="n">
        <v>27</v>
      </c>
      <c r="B28" s="8" t="s">
        <v>19</v>
      </c>
      <c r="C28" s="3" t="n">
        <v>3</v>
      </c>
      <c r="D28" s="13" t="str">
        <f aca="false">INDEX(変化6通り!$B$2:$B$7,C28)</f>
        <v>攻撃</v>
      </c>
      <c r="E28" s="13" t="str">
        <f aca="false">INDEX(変化6通り!$C$2:$C$7,C28)</f>
        <v>HP</v>
      </c>
      <c r="F28" s="13" t="n">
        <f aca="false">ROUND(INDEX(基本ステータス!$B$4:$B$8,MATCH($B28,基本ステータス!$A$4:$A$8,0))*(1+IF($D28="HP",基本ステータス!$B$10,0)-IF($E28="HP",基本ステータス!$B$10,0)),0)</f>
        <v>171</v>
      </c>
      <c r="G28" s="13" t="n">
        <f aca="false">ROUND(INDEX(基本ステータス!$C$4:$C$8,MATCH($B28,基本ステータス!$A$4:$A$8,0))*(1+IF($D28="攻撃",基本ステータス!$B$10,0)-IF($E28="攻撃",基本ステータス!$B$10,0)),0)</f>
        <v>50</v>
      </c>
      <c r="H28" s="13" t="n">
        <f aca="false">ROUND(INDEX(基本ステータス!$D$4:$D$8,MATCH($B28,基本ステータス!$A$4:$A$8,0))*(1+IF($D28="守備",基本ステータス!$B$10,0)-IF($E28="守備",基本ステータス!$B$10,0)),0)</f>
        <v>55</v>
      </c>
      <c r="I28" s="13" t="n">
        <f aca="false">INDEX(基本ステータス!$E$4:$E$8,MATCH($B28,基本ステータス!$A$4:$A$8,0))</f>
        <v>45</v>
      </c>
    </row>
    <row r="29" customFormat="false" ht="17.15" hidden="false" customHeight="false" outlineLevel="0" collapsed="false">
      <c r="A29" s="3" t="n">
        <v>28</v>
      </c>
      <c r="B29" s="8" t="s">
        <v>19</v>
      </c>
      <c r="C29" s="3" t="n">
        <v>4</v>
      </c>
      <c r="D29" s="13" t="str">
        <f aca="false">INDEX(変化6通り!$B$2:$B$7,C29)</f>
        <v>攻撃</v>
      </c>
      <c r="E29" s="13" t="str">
        <f aca="false">INDEX(変化6通り!$C$2:$C$7,C29)</f>
        <v>守備</v>
      </c>
      <c r="F29" s="13" t="n">
        <f aca="false">ROUND(INDEX(基本ステータス!$B$4:$B$8,MATCH($B29,基本ステータス!$A$4:$A$8,0))*(1+IF($D29="HP",基本ステータス!$B$10,0)-IF($E29="HP",基本ステータス!$B$10,0)),0)</f>
        <v>190</v>
      </c>
      <c r="G29" s="13" t="n">
        <f aca="false">ROUND(INDEX(基本ステータス!$C$4:$C$8,MATCH($B29,基本ステータス!$A$4:$A$8,0))*(1+IF($D29="攻撃",基本ステータス!$B$10,0)-IF($E29="攻撃",基本ステータス!$B$10,0)),0)</f>
        <v>50</v>
      </c>
      <c r="H29" s="13" t="n">
        <f aca="false">ROUND(INDEX(基本ステータス!$D$4:$D$8,MATCH($B29,基本ステータス!$A$4:$A$8,0))*(1+IF($D29="守備",基本ステータス!$B$10,0)-IF($E29="守備",基本ステータス!$B$10,0)),0)</f>
        <v>50</v>
      </c>
      <c r="I29" s="13" t="n">
        <f aca="false">INDEX(基本ステータス!$E$4:$E$8,MATCH($B29,基本ステータス!$A$4:$A$8,0))</f>
        <v>45</v>
      </c>
    </row>
    <row r="30" customFormat="false" ht="17.15" hidden="false" customHeight="false" outlineLevel="0" collapsed="false">
      <c r="A30" s="3" t="n">
        <v>29</v>
      </c>
      <c r="B30" s="8" t="s">
        <v>19</v>
      </c>
      <c r="C30" s="3" t="n">
        <v>5</v>
      </c>
      <c r="D30" s="13" t="str">
        <f aca="false">INDEX(変化6通り!$B$2:$B$7,C30)</f>
        <v>守備</v>
      </c>
      <c r="E30" s="13" t="str">
        <f aca="false">INDEX(変化6通り!$C$2:$C$7,C30)</f>
        <v>HP</v>
      </c>
      <c r="F30" s="13" t="n">
        <f aca="false">ROUND(INDEX(基本ステータス!$B$4:$B$8,MATCH($B30,基本ステータス!$A$4:$A$8,0))*(1+IF($D30="HP",基本ステータス!$B$10,0)-IF($E30="HP",基本ステータス!$B$10,0)),0)</f>
        <v>171</v>
      </c>
      <c r="G30" s="13" t="n">
        <f aca="false">ROUND(INDEX(基本ステータス!$C$4:$C$8,MATCH($B30,基本ステータス!$A$4:$A$8,0))*(1+IF($D30="攻撃",基本ステータス!$B$10,0)-IF($E30="攻撃",基本ステータス!$B$10,0)),0)</f>
        <v>45</v>
      </c>
      <c r="H30" s="13" t="n">
        <f aca="false">ROUND(INDEX(基本ステータス!$D$4:$D$8,MATCH($B30,基本ステータス!$A$4:$A$8,0))*(1+IF($D30="守備",基本ステータス!$B$10,0)-IF($E30="守備",基本ステータス!$B$10,0)),0)</f>
        <v>61</v>
      </c>
      <c r="I30" s="13" t="n">
        <f aca="false">INDEX(基本ステータス!$E$4:$E$8,MATCH($B30,基本ステータス!$A$4:$A$8,0))</f>
        <v>45</v>
      </c>
    </row>
    <row r="31" customFormat="false" ht="17.15" hidden="false" customHeight="false" outlineLevel="0" collapsed="false">
      <c r="A31" s="3" t="n">
        <v>30</v>
      </c>
      <c r="B31" s="8" t="s">
        <v>19</v>
      </c>
      <c r="C31" s="3" t="n">
        <v>6</v>
      </c>
      <c r="D31" s="13" t="str">
        <f aca="false">INDEX(変化6通り!$B$2:$B$7,C31)</f>
        <v>守備</v>
      </c>
      <c r="E31" s="13" t="str">
        <f aca="false">INDEX(変化6通り!$C$2:$C$7,C31)</f>
        <v>攻撃</v>
      </c>
      <c r="F31" s="13" t="n">
        <f aca="false">ROUND(INDEX(基本ステータス!$B$4:$B$8,MATCH($B31,基本ステータス!$A$4:$A$8,0))*(1+IF($D31="HP",基本ステータス!$B$10,0)-IF($E31="HP",基本ステータス!$B$10,0)),0)</f>
        <v>190</v>
      </c>
      <c r="G31" s="13" t="n">
        <f aca="false">ROUND(INDEX(基本ステータス!$C$4:$C$8,MATCH($B31,基本ステータス!$A$4:$A$8,0))*(1+IF($D31="攻撃",基本ステータス!$B$10,0)-IF($E31="攻撃",基本ステータス!$B$10,0)),0)</f>
        <v>41</v>
      </c>
      <c r="H31" s="13" t="n">
        <f aca="false">ROUND(INDEX(基本ステータス!$D$4:$D$8,MATCH($B31,基本ステータス!$A$4:$A$8,0))*(1+IF($D31="守備",基本ステータス!$B$10,0)-IF($E31="守備",基本ステータス!$B$10,0)),0)</f>
        <v>61</v>
      </c>
      <c r="I31" s="13" t="n">
        <f aca="false">INDEX(基本ステータス!$E$4:$E$8,MATCH($B31,基本ステータス!$A$4:$A$8,0))</f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2026-10-02T01:47:38Z</dcterms:created>
  <dc:creator>openpyxl</dc:creator>
  <dc:description/>
  <dc:language>en-US</dc:language>
  <cp:lastModifiedBy/>
  <dcterms:modified xsi:type="dcterms:W3CDTF">2026-10-02T01:47:38Z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